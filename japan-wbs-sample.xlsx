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tegories" sheetId="2" state="visible" r:id="rId2"/>
    <sheet name="tasks" sheetId="3" state="visible" r:id="rId3"/>
    <sheet name="decisions" sheetId="4" state="visible" r:id="rId4"/>
    <sheet name="re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주&quot;"/>
  </numFmts>
  <fonts count="34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b val="1"/>
      <color rgb="00000000"/>
      <sz val="12"/>
    </font>
    <font>
      <name val="Arial"/>
      <color rgb="000563C1"/>
      <sz val="11"/>
      <u val="single"/>
    </font>
    <font>
      <name val="Arial"/>
      <color rgb="00000000"/>
      <sz val="11"/>
    </font>
    <font>
      <name val="Arial"/>
      <b val="1"/>
      <color rgb="00D97706"/>
      <sz val="11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3B82F6"/>
      <sz val="11"/>
    </font>
    <font>
      <name val="Arial"/>
      <b val="1"/>
      <color rgb="007C3AED"/>
      <sz val="11"/>
    </font>
    <font>
      <name val="Arial"/>
      <b val="1"/>
      <color rgb="00A78BFA"/>
      <sz val="11"/>
    </font>
    <font>
      <name val="Arial"/>
      <b val="1"/>
      <color rgb="00C4B5FD"/>
      <sz val="11"/>
    </font>
    <font>
      <name val="Arial"/>
      <b val="1"/>
      <color rgb="006D28D9"/>
      <sz val="11"/>
    </font>
    <font>
      <name val="Arial"/>
      <b val="1"/>
      <color rgb="0010B981"/>
      <sz val="11"/>
    </font>
    <font>
      <name val="Arial"/>
      <b val="1"/>
      <color rgb="00F59E0B"/>
      <sz val="11"/>
    </font>
    <font>
      <name val="Arial"/>
      <b val="1"/>
      <color rgb="00EF4444"/>
      <sz val="11"/>
    </font>
    <font>
      <name val="Arial"/>
      <color rgb="003B82F6"/>
      <sz val="11"/>
    </font>
    <font>
      <name val="Arial"/>
      <sz val="11"/>
    </font>
    <font>
      <name val="Arial"/>
      <color rgb="006B7280"/>
      <sz val="11"/>
    </font>
    <font>
      <name val="Arial"/>
      <b val="1"/>
      <sz val="11"/>
    </font>
    <font>
      <name val="Arial"/>
      <color rgb="00DC2626"/>
      <sz val="11"/>
    </font>
    <font>
      <name val="Arial"/>
      <color rgb="007C3AED"/>
      <sz val="11"/>
    </font>
    <font>
      <name val="Arial"/>
      <color rgb="009CA3AF"/>
      <sz val="11"/>
    </font>
    <font>
      <name val="Arial"/>
      <color rgb="00D97706"/>
      <sz val="11"/>
    </font>
    <font>
      <name val="Arial"/>
      <color rgb="00A78BFA"/>
      <sz val="11"/>
    </font>
    <font>
      <name val="Arial"/>
      <color rgb="00D1D5DB"/>
      <sz val="11"/>
    </font>
    <font>
      <name val="Arial"/>
      <color rgb="00C4B5FD"/>
      <sz val="11"/>
    </font>
    <font>
      <name val="Arial"/>
      <color rgb="006D28D9"/>
      <sz val="11"/>
    </font>
    <font>
      <name val="Arial"/>
      <color rgb="002563EB"/>
      <sz val="11"/>
    </font>
    <font>
      <name val="Arial"/>
      <color rgb="0010B981"/>
      <sz val="11"/>
    </font>
    <font>
      <name val="Arial"/>
      <color rgb="00F59E0B"/>
      <sz val="11"/>
    </font>
    <font>
      <name val="Arial"/>
      <color rgb="00EF4444"/>
      <sz val="11"/>
    </font>
    <font>
      <name val="Arial"/>
      <color rgb="00888888"/>
      <sz val="10"/>
    </font>
    <font>
      <name val="Arial"/>
      <b val="1"/>
      <color rgb="001E3A5F"/>
      <sz val="11"/>
    </font>
  </fonts>
  <fills count="22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3B82F6"/>
      </patternFill>
    </fill>
    <fill>
      <patternFill patternType="solid">
        <fgColor rgb="00F9F9F9"/>
      </patternFill>
    </fill>
    <fill>
      <patternFill patternType="solid">
        <fgColor rgb="007C3AED"/>
      </patternFill>
    </fill>
    <fill>
      <patternFill patternType="solid">
        <fgColor rgb="00A78BFA"/>
      </patternFill>
    </fill>
    <fill>
      <patternFill patternType="solid">
        <fgColor rgb="00C4B5FD"/>
      </patternFill>
    </fill>
    <fill>
      <patternFill patternType="solid">
        <fgColor rgb="006D28D9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1E3A5F"/>
      </patternFill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8" fillId="14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16" borderId="0" applyAlignment="1" pivotButton="0" quotePrefix="0" xfId="0">
      <alignment horizontal="center" vertical="center"/>
    </xf>
    <xf numFmtId="0" fontId="23" fillId="1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18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/>
    </xf>
    <xf numFmtId="0" fontId="33" fillId="18" borderId="0" applyAlignment="1" pivotButton="0" quotePrefix="0" xfId="0">
      <alignment horizontal="center" vertical="center"/>
    </xf>
    <xf numFmtId="0" fontId="33" fillId="19" borderId="0" applyAlignment="1" pivotButton="0" quotePrefix="0" xfId="0">
      <alignment horizontal="center" vertical="center"/>
    </xf>
    <xf numFmtId="0" fontId="33" fillId="17" borderId="0" applyAlignment="1" pivotButton="0" quotePrefix="0" xfId="0">
      <alignment horizontal="center" vertical="center"/>
    </xf>
    <xf numFmtId="0" fontId="33" fillId="20" borderId="0" applyAlignment="1" pivotButton="0" quotePrefix="0" xfId="0">
      <alignment horizontal="center" vertical="center"/>
    </xf>
    <xf numFmtId="0" fontId="33" fillId="21" borderId="0" applyAlignment="1" pivotButton="0" quotePrefix="0" xfId="0">
      <alignment horizontal="center" vertical="center"/>
    </xf>
    <xf numFmtId="0" fontId="33" fillId="1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</cols>
  <sheetData>
    <row r="1">
      <c r="A1" s="1" t="inlineStr">
        <is>
          <t>🇯🇵 일본 서비스 런칭 WBS — 사용 가이드</t>
        </is>
      </c>
    </row>
    <row r="3">
      <c r="A3" s="2" t="inlineStr">
        <is>
          <t>📌 대시보드 URL</t>
        </is>
      </c>
    </row>
    <row r="4">
      <c r="A4" s="3" t="inlineStr">
        <is>
          <t>https://partyto.github.io/japan-gtm-wbs/japan-wbs.html</t>
        </is>
      </c>
    </row>
    <row r="6">
      <c r="A6" s="2" t="inlineStr">
        <is>
          <t>📋 시트 구성</t>
        </is>
      </c>
    </row>
    <row r="7">
      <c r="A7" s="4" t="inlineStr">
        <is>
          <t>• categories — 카테고리 정의 (이름, 색상, 필터 레이블). 순서가 타임라인 표시 순서.</t>
        </is>
      </c>
    </row>
    <row r="8">
      <c r="A8" s="4" t="inlineStr">
        <is>
          <t>• tasks — 과제 목록 (43개). startDate/endDate 수정하면 duration 자동 계산.</t>
        </is>
      </c>
    </row>
    <row r="9">
      <c r="A9" s="4" t="inlineStr">
        <is>
          <t>• decisions — 의사결정 추적 (8개). due 날짜 형식: 3/28, 4월중 등 자유 형식.</t>
        </is>
      </c>
    </row>
    <row r="10">
      <c r="A10" s="4" t="inlineStr">
        <is>
          <t>• resources — 인력 구성 (팀별). be/fe/pm/native/uiux/qa는 숫자로 입력.</t>
        </is>
      </c>
    </row>
    <row r="13">
      <c r="A13" s="2" t="inlineStr">
        <is>
          <t>🔗 Google Sheets 연결 방법</t>
        </is>
      </c>
    </row>
    <row r="14">
      <c r="A14" s="4" t="inlineStr">
        <is>
          <t>1. 이 파일을 Google Drive에 업로드 → Google Sheets로 열기</t>
        </is>
      </c>
    </row>
    <row r="15">
      <c r="A15" s="4" t="inlineStr">
        <is>
          <t>2. 파일 → 공유 → 웹에 게시 → 각 시트(tasks/decisions/resources/categories) → CSV → 게시</t>
        </is>
      </c>
    </row>
    <row r="16">
      <c r="A16" s="4" t="inlineStr">
        <is>
          <t>3. 대시보드 접속 → 우측 상단 ⚙ 설정 클릭</t>
        </is>
      </c>
    </row>
    <row r="17">
      <c r="A17" s="4" t="inlineStr">
        <is>
          <t>4. Spreadsheet ID 입력 (URL의 /d/와 /edit 사이 문자열)</t>
        </is>
      </c>
    </row>
    <row r="18">
      <c r="A18" s="4" t="inlineStr">
        <is>
          <t>5. 저장 후 새로고침 → 시트 데이터 자동 반영</t>
        </is>
      </c>
    </row>
    <row r="21">
      <c r="A21" s="5" t="inlineStr">
        <is>
          <t>⚠️ 주의사항</t>
        </is>
      </c>
    </row>
    <row r="22">
      <c r="A22" s="6" t="inlineStr">
        <is>
          <t>• 시트 탭 이름은 반드시 categories / tasks / decisions / resources (영문 소문자)</t>
        </is>
      </c>
    </row>
    <row r="23">
      <c r="A23" s="6" t="inlineStr">
        <is>
          <t>• Google Sheets에서 '웹에 게시'를 해야 대시보드에서 읽을 수 있음</t>
        </is>
      </c>
    </row>
    <row r="24">
      <c r="A24" s="6" t="inlineStr">
        <is>
          <t>• 데이터 변경 후 대시보드에서 ↻ 새로고침 버튼 클릭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2D2D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4" customWidth="1" min="4" max="4"/>
  </cols>
  <sheetData>
    <row r="1" ht="22" customHeight="1">
      <c r="A1" s="7" t="inlineStr">
        <is>
          <t>key</t>
        </is>
      </c>
      <c r="B1" s="7" t="inlineStr">
        <is>
          <t>name</t>
        </is>
      </c>
      <c r="C1" s="7" t="inlineStr">
        <is>
          <t>color</t>
        </is>
      </c>
      <c r="D1" s="7" t="inlineStr">
        <is>
          <t>filterLabel</t>
        </is>
      </c>
    </row>
    <row r="2" ht="20" customHeight="1">
      <c r="A2" s="8" t="inlineStr">
        <is>
          <t>A</t>
        </is>
      </c>
      <c r="B2" s="9" t="inlineStr">
        <is>
          <t>A. 기존솔루션 현지화</t>
        </is>
      </c>
      <c r="C2" s="10" t="inlineStr">
        <is>
          <t>#3B82F6</t>
        </is>
      </c>
      <c r="D2" s="11" t="inlineStr">
        <is>
          <t>기존솔루션</t>
        </is>
      </c>
    </row>
    <row r="3" ht="20" customHeight="1">
      <c r="A3" s="12" t="inlineStr">
        <is>
          <t>B1</t>
        </is>
      </c>
      <c r="B3" s="13" t="inlineStr">
        <is>
          <t>B-1순위: 핵심기능·노쇼방지</t>
        </is>
      </c>
      <c r="C3" s="14" t="inlineStr">
        <is>
          <t>#7C3AED</t>
        </is>
      </c>
      <c r="D3" s="15" t="inlineStr">
        <is>
          <t>1순위</t>
        </is>
      </c>
    </row>
    <row r="4" ht="20" customHeight="1">
      <c r="A4" s="16" t="inlineStr">
        <is>
          <t>B2</t>
        </is>
      </c>
      <c r="B4" s="9" t="inlineStr">
        <is>
          <t>B-2순위: 운영효율</t>
        </is>
      </c>
      <c r="C4" s="17" t="inlineStr">
        <is>
          <t>#A78BFA</t>
        </is>
      </c>
      <c r="D4" s="11" t="inlineStr">
        <is>
          <t>2순위</t>
        </is>
      </c>
    </row>
    <row r="5" ht="20" customHeight="1">
      <c r="A5" s="18" t="inlineStr">
        <is>
          <t>B3</t>
        </is>
      </c>
      <c r="B5" s="13" t="inlineStr">
        <is>
          <t>B-3순위: 부가가치</t>
        </is>
      </c>
      <c r="C5" s="19" t="inlineStr">
        <is>
          <t>#C4B5FD</t>
        </is>
      </c>
      <c r="D5" s="15" t="inlineStr">
        <is>
          <t>3순위</t>
        </is>
      </c>
    </row>
    <row r="6" ht="20" customHeight="1">
      <c r="A6" s="20" t="inlineStr">
        <is>
          <t>BF</t>
        </is>
      </c>
      <c r="B6" s="9" t="inlineStr">
        <is>
          <t>B-기반: 인프라/법적</t>
        </is>
      </c>
      <c r="C6" s="21" t="inlineStr">
        <is>
          <t>#6D28D9</t>
        </is>
      </c>
      <c r="D6" s="11" t="inlineStr">
        <is>
          <t>인프라</t>
        </is>
      </c>
    </row>
    <row r="7" ht="20" customHeight="1">
      <c r="A7" s="22" t="inlineStr">
        <is>
          <t>C</t>
        </is>
      </c>
      <c r="B7" s="13" t="inlineStr">
        <is>
          <t>C. 회원관리 체계</t>
        </is>
      </c>
      <c r="C7" s="23" t="inlineStr">
        <is>
          <t>#10B981</t>
        </is>
      </c>
      <c r="D7" s="15" t="inlineStr">
        <is>
          <t>회원</t>
        </is>
      </c>
    </row>
    <row r="8" ht="20" customHeight="1">
      <c r="A8" s="24" t="inlineStr">
        <is>
          <t>D</t>
        </is>
      </c>
      <c r="B8" s="9" t="inlineStr">
        <is>
          <t>D. 사업/법무</t>
        </is>
      </c>
      <c r="C8" s="25" t="inlineStr">
        <is>
          <t>#F59E0B</t>
        </is>
      </c>
      <c r="D8" s="11" t="inlineStr">
        <is>
          <t>사업</t>
        </is>
      </c>
    </row>
    <row r="9" ht="20" customHeight="1">
      <c r="A9" s="26" t="inlineStr">
        <is>
          <t>Q</t>
        </is>
      </c>
      <c r="B9" s="13" t="inlineStr">
        <is>
          <t>QA·런칭</t>
        </is>
      </c>
      <c r="C9" s="27" t="inlineStr">
        <is>
          <t>#EF4444</t>
        </is>
      </c>
      <c r="D9" s="15" t="inlineStr">
        <is>
          <t>QA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2" customWidth="1" min="4" max="4"/>
    <col width="12" customWidth="1" min="5" max="5"/>
    <col width="10" customWidth="1" min="6" max="6"/>
    <col width="14" customWidth="1" min="7" max="7"/>
    <col width="10" customWidth="1" min="8" max="8"/>
    <col width="8" customWidth="1" min="9" max="9"/>
    <col width="10" customWidth="1" min="10" max="10"/>
    <col width="22" customWidth="1" min="11" max="11"/>
    <col width="9" customWidth="1" min="12" max="12"/>
  </cols>
  <sheetData>
    <row r="1" ht="24" customHeight="1">
      <c r="A1" s="28" t="inlineStr">
        <is>
          <t>id</t>
        </is>
      </c>
      <c r="B1" s="28" t="inlineStr">
        <is>
          <t>name</t>
        </is>
      </c>
      <c r="C1" s="28" t="inlineStr">
        <is>
          <t>category</t>
        </is>
      </c>
      <c r="D1" s="28" t="inlineStr">
        <is>
          <t>startDate</t>
        </is>
      </c>
      <c r="E1" s="28" t="inlineStr">
        <is>
          <t>endDate</t>
        </is>
      </c>
      <c r="F1" s="28" t="inlineStr">
        <is>
          <t>duration</t>
        </is>
      </c>
      <c r="G1" s="28" t="inlineStr">
        <is>
          <t>team</t>
        </is>
      </c>
      <c r="H1" s="28" t="inlineStr">
        <is>
          <t>status</t>
        </is>
      </c>
      <c r="I1" s="28" t="inlineStr">
        <is>
          <t>critical</t>
        </is>
      </c>
      <c r="J1" s="28" t="inlineStr">
        <is>
          <t>dependency</t>
        </is>
      </c>
      <c r="K1" s="28" t="inlineStr">
        <is>
          <t>note</t>
        </is>
      </c>
      <c r="L1" s="28" t="inlineStr">
        <is>
          <t>mandays</t>
        </is>
      </c>
    </row>
    <row r="2" ht="22" customHeight="1">
      <c r="A2" s="29" t="inlineStr">
        <is>
          <t>A-1</t>
        </is>
      </c>
      <c r="B2" s="30" t="inlineStr">
        <is>
          <t>인프라 셋팅(매장구분자)</t>
        </is>
      </c>
      <c r="C2" s="31" t="inlineStr">
        <is>
          <t>A</t>
        </is>
      </c>
      <c r="D2" s="31" t="inlineStr">
        <is>
          <t>2026-04-13</t>
        </is>
      </c>
      <c r="E2" s="31" t="inlineStr">
        <is>
          <t>2026-04-17</t>
        </is>
      </c>
      <c r="F2" s="32">
        <f>IF(AND(D2&lt;&gt;"",E2&lt;&gt;""),(DATEVALUE(E2)-DATEVALUE(D2))/7,"")</f>
        <v/>
      </c>
      <c r="G2" s="31" t="inlineStr">
        <is>
          <t>B2B</t>
        </is>
      </c>
      <c r="H2" s="33" t="inlineStr">
        <is>
          <t>미착수</t>
        </is>
      </c>
      <c r="I2" s="31" t="inlineStr">
        <is>
          <t>FALSE</t>
        </is>
      </c>
      <c r="J2" s="31" t="inlineStr"/>
      <c r="K2" s="4" t="inlineStr">
        <is>
          <t>즉시 착수 가능</t>
        </is>
      </c>
      <c r="L2" s="34" t="n">
        <v>2</v>
      </c>
    </row>
    <row r="3" ht="22" customHeight="1">
      <c r="A3" s="35" t="inlineStr">
        <is>
          <t>A-2</t>
        </is>
      </c>
      <c r="B3" s="36" t="inlineStr">
        <is>
          <t>패드 일본어 (언어팩)</t>
        </is>
      </c>
      <c r="C3" s="31" t="inlineStr">
        <is>
          <t>A</t>
        </is>
      </c>
      <c r="D3" s="31" t="inlineStr">
        <is>
          <t>2026-04-13</t>
        </is>
      </c>
      <c r="E3" s="31" t="inlineStr">
        <is>
          <t>2026-04-27</t>
        </is>
      </c>
      <c r="F3" s="32">
        <f>IF(AND(D3&lt;&gt;"",E3&lt;&gt;""),(DATEVALUE(E3)-DATEVALUE(D3))/7,"")</f>
        <v/>
      </c>
      <c r="G3" s="31" t="inlineStr">
        <is>
          <t>B2B</t>
        </is>
      </c>
      <c r="H3" s="33" t="inlineStr">
        <is>
          <t>미착수</t>
        </is>
      </c>
      <c r="I3" s="31" t="inlineStr">
        <is>
          <t>TRUE</t>
        </is>
      </c>
      <c r="J3" s="31" t="inlineStr"/>
      <c r="K3" s="4" t="inlineStr">
        <is>
          <t>⚠️ 인력 배정 필요</t>
        </is>
      </c>
      <c r="L3" s="37" t="n">
        <v>12</v>
      </c>
    </row>
    <row r="4" ht="22" customHeight="1">
      <c r="A4" s="35" t="inlineStr">
        <is>
          <t>A-3</t>
        </is>
      </c>
      <c r="B4" s="36" t="inlineStr">
        <is>
          <t>웨이팅 등록 프로세스</t>
        </is>
      </c>
      <c r="C4" s="31" t="inlineStr">
        <is>
          <t>A</t>
        </is>
      </c>
      <c r="D4" s="31" t="inlineStr">
        <is>
          <t>2026-04-13</t>
        </is>
      </c>
      <c r="E4" s="31" t="inlineStr">
        <is>
          <t>2026-05-04</t>
        </is>
      </c>
      <c r="F4" s="32">
        <f>IF(AND(D4&lt;&gt;"",E4&lt;&gt;""),(DATEVALUE(E4)-DATEVALUE(D4))/7,"")</f>
        <v/>
      </c>
      <c r="G4" s="31" t="inlineStr">
        <is>
          <t>B2B+글로벌</t>
        </is>
      </c>
      <c r="H4" s="33" t="inlineStr">
        <is>
          <t>미착수</t>
        </is>
      </c>
      <c r="I4" s="31" t="inlineStr">
        <is>
          <t>TRUE</t>
        </is>
      </c>
      <c r="J4" s="31" t="inlineStr">
        <is>
          <t>B-9</t>
        </is>
      </c>
      <c r="K4" s="4" t="inlineStr">
        <is>
          <t>서버 리전 확정 후</t>
        </is>
      </c>
      <c r="L4" s="37" t="n">
        <v>13</v>
      </c>
    </row>
    <row r="5" ht="22" customHeight="1">
      <c r="A5" s="29" t="inlineStr">
        <is>
          <t>A-4</t>
        </is>
      </c>
      <c r="B5" s="30" t="inlineStr">
        <is>
          <t>다국어 표기(외국인)</t>
        </is>
      </c>
      <c r="C5" s="31" t="inlineStr">
        <is>
          <t>A</t>
        </is>
      </c>
      <c r="D5" s="31" t="inlineStr">
        <is>
          <t>2026-05-11</t>
        </is>
      </c>
      <c r="E5" s="31" t="inlineStr">
        <is>
          <t>2026-05-25</t>
        </is>
      </c>
      <c r="F5" s="32">
        <f>IF(AND(D5&lt;&gt;"",E5&lt;&gt;""),(DATEVALUE(E5)-DATEVALUE(D5))/7,"")</f>
        <v/>
      </c>
      <c r="G5" s="31" t="inlineStr">
        <is>
          <t>글로벌</t>
        </is>
      </c>
      <c r="H5" s="33" t="inlineStr">
        <is>
          <t>미착수</t>
        </is>
      </c>
      <c r="I5" s="31" t="inlineStr">
        <is>
          <t>FALSE</t>
        </is>
      </c>
      <c r="J5" s="31" t="inlineStr"/>
      <c r="K5" s="4" t="inlineStr"/>
      <c r="L5" s="34" t="n">
        <v>7</v>
      </c>
    </row>
    <row r="6" ht="22" customHeight="1">
      <c r="A6" s="29" t="inlineStr">
        <is>
          <t>A-5</t>
        </is>
      </c>
      <c r="B6" s="30" t="inlineStr">
        <is>
          <t>서비스 분기 처리</t>
        </is>
      </c>
      <c r="C6" s="31" t="inlineStr">
        <is>
          <t>A</t>
        </is>
      </c>
      <c r="D6" s="31" t="inlineStr">
        <is>
          <t>2026-04-27</t>
        </is>
      </c>
      <c r="E6" s="31" t="inlineStr">
        <is>
          <t>2026-05-01</t>
        </is>
      </c>
      <c r="F6" s="32">
        <f>IF(AND(D6&lt;&gt;"",E6&lt;&gt;""),(DATEVALUE(E6)-DATEVALUE(D6))/7,"")</f>
        <v/>
      </c>
      <c r="G6" s="31" t="inlineStr">
        <is>
          <t>B2B</t>
        </is>
      </c>
      <c r="H6" s="33" t="inlineStr">
        <is>
          <t>미착수</t>
        </is>
      </c>
      <c r="I6" s="31" t="inlineStr">
        <is>
          <t>FALSE</t>
        </is>
      </c>
      <c r="J6" s="31" t="inlineStr"/>
      <c r="K6" s="4" t="inlineStr"/>
      <c r="L6" s="34" t="n">
        <v>2</v>
      </c>
    </row>
    <row r="7" ht="22" customHeight="1">
      <c r="A7" s="29" t="inlineStr">
        <is>
          <t>A-6</t>
        </is>
      </c>
      <c r="B7" s="30" t="inlineStr">
        <is>
          <t>구글맵/운영기획</t>
        </is>
      </c>
      <c r="C7" s="31" t="inlineStr">
        <is>
          <t>A</t>
        </is>
      </c>
      <c r="D7" s="31" t="inlineStr">
        <is>
          <t>2026-04-27</t>
        </is>
      </c>
      <c r="E7" s="31" t="inlineStr">
        <is>
          <t>2026-05-04</t>
        </is>
      </c>
      <c r="F7" s="32">
        <f>IF(AND(D7&lt;&gt;"",E7&lt;&gt;""),(DATEVALUE(E7)-DATEVALUE(D7))/7,"")</f>
        <v/>
      </c>
      <c r="G7" s="31" t="inlineStr">
        <is>
          <t>글로벌</t>
        </is>
      </c>
      <c r="H7" s="33" t="inlineStr">
        <is>
          <t>미착수</t>
        </is>
      </c>
      <c r="I7" s="31" t="inlineStr">
        <is>
          <t>FALSE</t>
        </is>
      </c>
      <c r="J7" s="31" t="inlineStr"/>
      <c r="K7" s="4" t="inlineStr"/>
      <c r="L7" s="34" t="n">
        <v>3</v>
      </c>
    </row>
    <row r="8" ht="22" customHeight="1">
      <c r="A8" s="29" t="inlineStr">
        <is>
          <t>A-7</t>
        </is>
      </c>
      <c r="B8" s="30" t="inlineStr">
        <is>
          <t>자동 호출 알림 룰</t>
        </is>
      </c>
      <c r="C8" s="31" t="inlineStr">
        <is>
          <t>A</t>
        </is>
      </c>
      <c r="D8" s="31" t="inlineStr">
        <is>
          <t>2026-06-08</t>
        </is>
      </c>
      <c r="E8" s="31" t="inlineStr">
        <is>
          <t>2026-06-12</t>
        </is>
      </c>
      <c r="F8" s="32">
        <f>IF(AND(D8&lt;&gt;"",E8&lt;&gt;""),(DATEVALUE(E8)-DATEVALUE(D8))/7,"")</f>
        <v/>
      </c>
      <c r="G8" s="31" t="inlineStr">
        <is>
          <t>B2B</t>
        </is>
      </c>
      <c r="H8" s="33" t="inlineStr">
        <is>
          <t>미착수</t>
        </is>
      </c>
      <c r="I8" s="31" t="inlineStr">
        <is>
          <t>FALSE</t>
        </is>
      </c>
      <c r="J8" s="31" t="inlineStr"/>
      <c r="K8" s="4" t="inlineStr"/>
      <c r="L8" s="34" t="n">
        <v>2</v>
      </c>
    </row>
    <row r="9" ht="22" customHeight="1">
      <c r="A9" s="29" t="inlineStr">
        <is>
          <t>A-8</t>
        </is>
      </c>
      <c r="B9" s="30" t="inlineStr">
        <is>
          <t>웨이팅 운영 지원(CS)</t>
        </is>
      </c>
      <c r="C9" s="31" t="inlineStr">
        <is>
          <t>A</t>
        </is>
      </c>
      <c r="D9" s="31" t="inlineStr">
        <is>
          <t>2026-04-13</t>
        </is>
      </c>
      <c r="E9" s="31" t="inlineStr">
        <is>
          <t>2026-08-03</t>
        </is>
      </c>
      <c r="F9" s="32">
        <f>IF(AND(D9&lt;&gt;"",E9&lt;&gt;""),(DATEVALUE(E9)-DATEVALUE(D9))/7,"")</f>
        <v/>
      </c>
      <c r="G9" s="31" t="inlineStr">
        <is>
          <t>B2B</t>
        </is>
      </c>
      <c r="H9" s="33" t="inlineStr">
        <is>
          <t>미착수</t>
        </is>
      </c>
      <c r="I9" s="31" t="inlineStr">
        <is>
          <t>FALSE</t>
        </is>
      </c>
      <c r="J9" s="31" t="inlineStr"/>
      <c r="K9" s="4" t="inlineStr">
        <is>
          <t>비개발. 운영체계</t>
        </is>
      </c>
      <c r="L9" s="34" t="n">
        <v>0</v>
      </c>
    </row>
    <row r="10" ht="22" customHeight="1">
      <c r="A10" s="38" t="inlineStr">
        <is>
          <t>B1-1</t>
        </is>
      </c>
      <c r="B10" s="36" t="inlineStr">
        <is>
          <t>LINE 연동</t>
        </is>
      </c>
      <c r="C10" s="31" t="inlineStr">
        <is>
          <t>B1</t>
        </is>
      </c>
      <c r="D10" s="31" t="inlineStr">
        <is>
          <t>2026-04-13</t>
        </is>
      </c>
      <c r="E10" s="31" t="inlineStr">
        <is>
          <t>2026-06-08</t>
        </is>
      </c>
      <c r="F10" s="32">
        <f>IF(AND(D10&lt;&gt;"",E10&lt;&gt;""),(DATEVALUE(E10)-DATEVALUE(D10))/7,"")</f>
        <v/>
      </c>
      <c r="G10" s="31" t="inlineStr">
        <is>
          <t>글로벌</t>
        </is>
      </c>
      <c r="H10" s="39" t="inlineStr">
        <is>
          <t>최우선</t>
        </is>
      </c>
      <c r="I10" s="31" t="inlineStr">
        <is>
          <t>TRUE</t>
        </is>
      </c>
      <c r="J10" s="31" t="inlineStr"/>
      <c r="K10" s="4" t="inlineStr">
        <is>
          <t>파트너 즉시 선정. ¥1.8M</t>
        </is>
      </c>
      <c r="L10" s="37" t="n">
        <v>15</v>
      </c>
    </row>
    <row r="11" ht="22" customHeight="1">
      <c r="A11" s="40" t="inlineStr">
        <is>
          <t>B1-2</t>
        </is>
      </c>
      <c r="B11" s="30" t="inlineStr">
        <is>
          <t>엔화 UI/현지화 표기</t>
        </is>
      </c>
      <c r="C11" s="31" t="inlineStr">
        <is>
          <t>B1</t>
        </is>
      </c>
      <c r="D11" s="31" t="inlineStr">
        <is>
          <t>2026-04-27</t>
        </is>
      </c>
      <c r="E11" s="31" t="inlineStr">
        <is>
          <t>2026-05-11</t>
        </is>
      </c>
      <c r="F11" s="32">
        <f>IF(AND(D11&lt;&gt;"",E11&lt;&gt;""),(DATEVALUE(E11)-DATEVALUE(D11))/7,"")</f>
        <v/>
      </c>
      <c r="G11" s="31" t="inlineStr">
        <is>
          <t>글로벌</t>
        </is>
      </c>
      <c r="H11" s="33" t="inlineStr">
        <is>
          <t>미착수</t>
        </is>
      </c>
      <c r="I11" s="31" t="inlineStr">
        <is>
          <t>FALSE</t>
        </is>
      </c>
      <c r="J11" s="31" t="inlineStr"/>
      <c r="K11" s="4" t="inlineStr"/>
      <c r="L11" s="34" t="n">
        <v>8</v>
      </c>
    </row>
    <row r="12" ht="22" customHeight="1">
      <c r="A12" s="40" t="inlineStr">
        <is>
          <t>B1-3</t>
        </is>
      </c>
      <c r="B12" s="30" t="inlineStr">
        <is>
          <t>알림톡 커스터마이징</t>
        </is>
      </c>
      <c r="C12" s="31" t="inlineStr">
        <is>
          <t>B1</t>
        </is>
      </c>
      <c r="D12" s="31" t="inlineStr">
        <is>
          <t>2026-06-08</t>
        </is>
      </c>
      <c r="E12" s="31" t="inlineStr">
        <is>
          <t>2026-06-15</t>
        </is>
      </c>
      <c r="F12" s="32">
        <f>IF(AND(D12&lt;&gt;"",E12&lt;&gt;""),(DATEVALUE(E12)-DATEVALUE(D12))/7,"")</f>
        <v/>
      </c>
      <c r="G12" s="31" t="inlineStr">
        <is>
          <t>글로벌</t>
        </is>
      </c>
      <c r="H12" s="41" t="inlineStr">
        <is>
          <t>LINE대기</t>
        </is>
      </c>
      <c r="I12" s="31" t="inlineStr">
        <is>
          <t>FALSE</t>
        </is>
      </c>
      <c r="J12" s="31" t="inlineStr">
        <is>
          <t>B1-1</t>
        </is>
      </c>
      <c r="K12" s="4" t="inlineStr">
        <is>
          <t>LINE 완료 후</t>
        </is>
      </c>
      <c r="L12" s="34" t="n">
        <v>3</v>
      </c>
    </row>
    <row r="13" ht="22" customHeight="1">
      <c r="A13" s="38" t="inlineStr">
        <is>
          <t>B1-4</t>
        </is>
      </c>
      <c r="B13" s="36" t="inlineStr">
        <is>
          <t>로컬 PG 결제 연동</t>
        </is>
      </c>
      <c r="C13" s="31" t="inlineStr">
        <is>
          <t>B1</t>
        </is>
      </c>
      <c r="D13" s="31" t="inlineStr">
        <is>
          <t>2026-04-13</t>
        </is>
      </c>
      <c r="E13" s="31" t="inlineStr">
        <is>
          <t>2026-06-22</t>
        </is>
      </c>
      <c r="F13" s="32">
        <f>IF(AND(D13&lt;&gt;"",E13&lt;&gt;""),(DATEVALUE(E13)-DATEVALUE(D13))/7,"")</f>
        <v/>
      </c>
      <c r="G13" s="31" t="inlineStr">
        <is>
          <t>페이</t>
        </is>
      </c>
      <c r="H13" s="39" t="inlineStr">
        <is>
          <t>크리티컬</t>
        </is>
      </c>
      <c r="I13" s="31" t="inlineStr">
        <is>
          <t>TRUE</t>
        </is>
      </c>
      <c r="J13" s="31" t="inlineStr">
        <is>
          <t>D-1</t>
        </is>
      </c>
      <c r="K13" s="4" t="inlineStr">
        <is>
          <t>법인 필수. 카드8주</t>
        </is>
      </c>
      <c r="L13" s="37" t="n">
        <v>58</v>
      </c>
    </row>
    <row r="14" ht="22" customHeight="1">
      <c r="A14" s="40" t="inlineStr">
        <is>
          <t>B1-5</t>
        </is>
      </c>
      <c r="B14" s="30" t="inlineStr">
        <is>
          <t>패스트트랙(유료)</t>
        </is>
      </c>
      <c r="C14" s="31" t="inlineStr">
        <is>
          <t>B1</t>
        </is>
      </c>
      <c r="D14" s="31" t="inlineStr">
        <is>
          <t>2026-06-22</t>
        </is>
      </c>
      <c r="E14" s="31" t="inlineStr">
        <is>
          <t>2026-07-06</t>
        </is>
      </c>
      <c r="F14" s="32">
        <f>IF(AND(D14&lt;&gt;"",E14&lt;&gt;""),(DATEVALUE(E14)-DATEVALUE(D14))/7,"")</f>
        <v/>
      </c>
      <c r="G14" s="31" t="inlineStr">
        <is>
          <t>글로벌/페이</t>
        </is>
      </c>
      <c r="H14" s="41" t="inlineStr">
        <is>
          <t>대기</t>
        </is>
      </c>
      <c r="I14" s="31" t="inlineStr">
        <is>
          <t>FALSE</t>
        </is>
      </c>
      <c r="J14" s="31" t="inlineStr">
        <is>
          <t>B1-4</t>
        </is>
      </c>
      <c r="K14" s="4" t="inlineStr">
        <is>
          <t>수익 직결</t>
        </is>
      </c>
      <c r="L14" s="34" t="n">
        <v>15</v>
      </c>
    </row>
    <row r="15" ht="22" customHeight="1">
      <c r="A15" s="40" t="inlineStr">
        <is>
          <t>B1-6</t>
        </is>
      </c>
      <c r="B15" s="30" t="inlineStr">
        <is>
          <t>선주문+결제+위약금</t>
        </is>
      </c>
      <c r="C15" s="31" t="inlineStr">
        <is>
          <t>B1</t>
        </is>
      </c>
      <c r="D15" s="31" t="inlineStr">
        <is>
          <t>2026-06-22</t>
        </is>
      </c>
      <c r="E15" s="31" t="inlineStr">
        <is>
          <t>2026-07-06</t>
        </is>
      </c>
      <c r="F15" s="32">
        <f>IF(AND(D15&lt;&gt;"",E15&lt;&gt;""),(DATEVALUE(E15)-DATEVALUE(D15))/7,"")</f>
        <v/>
      </c>
      <c r="G15" s="31" t="inlineStr">
        <is>
          <t>글로벌/페이</t>
        </is>
      </c>
      <c r="H15" s="41" t="inlineStr">
        <is>
          <t>대기</t>
        </is>
      </c>
      <c r="I15" s="31" t="inlineStr">
        <is>
          <t>FALSE</t>
        </is>
      </c>
      <c r="J15" s="31" t="inlineStr">
        <is>
          <t>B1-4</t>
        </is>
      </c>
      <c r="K15" s="4" t="inlineStr"/>
      <c r="L15" s="34" t="n">
        <v>8</v>
      </c>
    </row>
    <row r="16" ht="22" customHeight="1">
      <c r="A16" s="40" t="inlineStr">
        <is>
          <t>B1-7</t>
        </is>
      </c>
      <c r="B16" s="30" t="inlineStr">
        <is>
          <t>우선입장(현장예약)</t>
        </is>
      </c>
      <c r="C16" s="31" t="inlineStr">
        <is>
          <t>B1</t>
        </is>
      </c>
      <c r="D16" s="31" t="inlineStr">
        <is>
          <t>2026-05-11</t>
        </is>
      </c>
      <c r="E16" s="31" t="inlineStr">
        <is>
          <t>2026-05-18</t>
        </is>
      </c>
      <c r="F16" s="32">
        <f>IF(AND(D16&lt;&gt;"",E16&lt;&gt;""),(DATEVALUE(E16)-DATEVALUE(D16))/7,"")</f>
        <v/>
      </c>
      <c r="G16" s="31" t="inlineStr">
        <is>
          <t>B2B</t>
        </is>
      </c>
      <c r="H16" s="33" t="inlineStr">
        <is>
          <t>미착수</t>
        </is>
      </c>
      <c r="I16" s="31" t="inlineStr">
        <is>
          <t>FALSE</t>
        </is>
      </c>
      <c r="J16" s="31" t="inlineStr"/>
      <c r="K16" s="4" t="inlineStr">
        <is>
          <t>결제없이 선행가능</t>
        </is>
      </c>
      <c r="L16" s="34" t="n">
        <v>4</v>
      </c>
    </row>
    <row r="17" ht="22" customHeight="1">
      <c r="A17" s="40" t="inlineStr">
        <is>
          <t>B1-8</t>
        </is>
      </c>
      <c r="B17" s="30" t="inlineStr">
        <is>
          <t>결제 분기 처리</t>
        </is>
      </c>
      <c r="C17" s="31" t="inlineStr">
        <is>
          <t>B1</t>
        </is>
      </c>
      <c r="D17" s="31" t="inlineStr">
        <is>
          <t>2026-06-22</t>
        </is>
      </c>
      <c r="E17" s="31" t="inlineStr">
        <is>
          <t>2026-06-29</t>
        </is>
      </c>
      <c r="F17" s="32">
        <f>IF(AND(D17&lt;&gt;"",E17&lt;&gt;""),(DATEVALUE(E17)-DATEVALUE(D17))/7,"")</f>
        <v/>
      </c>
      <c r="G17" s="31" t="inlineStr">
        <is>
          <t>글로벌</t>
        </is>
      </c>
      <c r="H17" s="41" t="inlineStr">
        <is>
          <t>대기</t>
        </is>
      </c>
      <c r="I17" s="31" t="inlineStr">
        <is>
          <t>FALSE</t>
        </is>
      </c>
      <c r="J17" s="31" t="inlineStr">
        <is>
          <t>B1-4</t>
        </is>
      </c>
      <c r="K17" s="4" t="inlineStr"/>
      <c r="L17" s="34" t="n">
        <v>5</v>
      </c>
    </row>
    <row r="18" ht="22" customHeight="1">
      <c r="A18" s="40" t="inlineStr">
        <is>
          <t>B1-9</t>
        </is>
      </c>
      <c r="B18" s="30" t="inlineStr">
        <is>
          <t>정산 구조</t>
        </is>
      </c>
      <c r="C18" s="31" t="inlineStr">
        <is>
          <t>B1</t>
        </is>
      </c>
      <c r="D18" s="31" t="inlineStr">
        <is>
          <t>2026-06-29</t>
        </is>
      </c>
      <c r="E18" s="31" t="inlineStr">
        <is>
          <t>2026-07-13</t>
        </is>
      </c>
      <c r="F18" s="32">
        <f>IF(AND(D18&lt;&gt;"",E18&lt;&gt;""),(DATEVALUE(E18)-DATEVALUE(D18))/7,"")</f>
        <v/>
      </c>
      <c r="G18" s="31" t="inlineStr">
        <is>
          <t>페이/비즈</t>
        </is>
      </c>
      <c r="H18" s="42" t="inlineStr">
        <is>
          <t>리서치</t>
        </is>
      </c>
      <c r="I18" s="31" t="inlineStr">
        <is>
          <t>FALSE</t>
        </is>
      </c>
      <c r="J18" s="31" t="inlineStr">
        <is>
          <t>B1-4</t>
        </is>
      </c>
      <c r="K18" s="4" t="inlineStr">
        <is>
          <t>지급대행 업체 필요</t>
        </is>
      </c>
      <c r="L18" s="34" t="n">
        <v>10</v>
      </c>
    </row>
    <row r="19" ht="22" customHeight="1">
      <c r="A19" s="43" t="inlineStr">
        <is>
          <t>B2-1</t>
        </is>
      </c>
      <c r="B19" s="30" t="inlineStr">
        <is>
          <t>GPS 위치 확인</t>
        </is>
      </c>
      <c r="C19" s="31" t="inlineStr">
        <is>
          <t>B2</t>
        </is>
      </c>
      <c r="D19" s="31" t="inlineStr">
        <is>
          <t>2026-06-22</t>
        </is>
      </c>
      <c r="E19" s="31" t="inlineStr">
        <is>
          <t>2026-07-13</t>
        </is>
      </c>
      <c r="F19" s="32">
        <f>IF(AND(D19&lt;&gt;"",E19&lt;&gt;""),(DATEVALUE(E19)-DATEVALUE(D19))/7,"")</f>
        <v/>
      </c>
      <c r="G19" s="31" t="inlineStr">
        <is>
          <t>글로벌</t>
        </is>
      </c>
      <c r="H19" s="44" t="inlineStr">
        <is>
          <t>2순위</t>
        </is>
      </c>
      <c r="I19" s="31" t="inlineStr">
        <is>
          <t>FALSE</t>
        </is>
      </c>
      <c r="J19" s="31" t="inlineStr"/>
      <c r="K19" s="4" t="inlineStr">
        <is>
          <t>22/27 매장 요청</t>
        </is>
      </c>
      <c r="L19" s="34" t="n">
        <v>15</v>
      </c>
    </row>
    <row r="20" ht="22" customHeight="1">
      <c r="A20" s="43" t="inlineStr">
        <is>
          <t>B2-2</t>
        </is>
      </c>
      <c r="B20" s="30" t="inlineStr">
        <is>
          <t>라이브 액티비티</t>
        </is>
      </c>
      <c r="C20" s="31" t="inlineStr">
        <is>
          <t>B2</t>
        </is>
      </c>
      <c r="D20" s="31" t="inlineStr">
        <is>
          <t>2026-06-22</t>
        </is>
      </c>
      <c r="E20" s="31" t="inlineStr">
        <is>
          <t>2026-07-20</t>
        </is>
      </c>
      <c r="F20" s="32">
        <f>IF(AND(D20&lt;&gt;"",E20&lt;&gt;""),(DATEVALUE(E20)-DATEVALUE(D20))/7,"")</f>
        <v/>
      </c>
      <c r="G20" s="31" t="inlineStr">
        <is>
          <t>글로벌 Native</t>
        </is>
      </c>
      <c r="H20" s="44" t="inlineStr">
        <is>
          <t>2순위</t>
        </is>
      </c>
      <c r="I20" s="31" t="inlineStr">
        <is>
          <t>FALSE</t>
        </is>
      </c>
      <c r="J20" s="31" t="inlineStr"/>
      <c r="K20" s="4" t="inlineStr">
        <is>
          <t>아이폰 점유율</t>
        </is>
      </c>
      <c r="L20" s="34" t="n">
        <v>20</v>
      </c>
    </row>
    <row r="21" ht="22" customHeight="1">
      <c r="A21" s="43" t="inlineStr">
        <is>
          <t>B2-3</t>
        </is>
      </c>
      <c r="B21" s="30" t="inlineStr">
        <is>
          <t>좌석타입 대기 개선</t>
        </is>
      </c>
      <c r="C21" s="31" t="inlineStr">
        <is>
          <t>B2</t>
        </is>
      </c>
      <c r="D21" s="31" t="inlineStr">
        <is>
          <t>2026-05-25</t>
        </is>
      </c>
      <c r="E21" s="31" t="inlineStr">
        <is>
          <t>2026-05-29</t>
        </is>
      </c>
      <c r="F21" s="32">
        <f>IF(AND(D21&lt;&gt;"",E21&lt;&gt;""),(DATEVALUE(E21)-DATEVALUE(D21))/7,"")</f>
        <v/>
      </c>
      <c r="G21" s="31" t="inlineStr">
        <is>
          <t>B2B</t>
        </is>
      </c>
      <c r="H21" s="33" t="inlineStr">
        <is>
          <t>미착수</t>
        </is>
      </c>
      <c r="I21" s="31" t="inlineStr">
        <is>
          <t>FALSE</t>
        </is>
      </c>
      <c r="J21" s="31" t="inlineStr"/>
      <c r="K21" s="4" t="inlineStr"/>
      <c r="L21" s="34" t="n">
        <v>2</v>
      </c>
    </row>
    <row r="22" ht="22" customHeight="1">
      <c r="A22" s="45" t="inlineStr">
        <is>
          <t>B3-1</t>
        </is>
      </c>
      <c r="B22" s="30" t="inlineStr">
        <is>
          <t>매장정보 링크/업셀링</t>
        </is>
      </c>
      <c r="C22" s="31" t="inlineStr">
        <is>
          <t>B3</t>
        </is>
      </c>
      <c r="D22" s="31" t="inlineStr">
        <is>
          <t>2026-07-20</t>
        </is>
      </c>
      <c r="E22" s="31" t="inlineStr">
        <is>
          <t>2026-07-27</t>
        </is>
      </c>
      <c r="F22" s="32">
        <f>IF(AND(D22&lt;&gt;"",E22&lt;&gt;""),(DATEVALUE(E22)-DATEVALUE(D22))/7,"")</f>
        <v/>
      </c>
      <c r="G22" s="31" t="inlineStr">
        <is>
          <t>글로벌</t>
        </is>
      </c>
      <c r="H22" s="44" t="inlineStr">
        <is>
          <t>후순위</t>
        </is>
      </c>
      <c r="I22" s="31" t="inlineStr">
        <is>
          <t>FALSE</t>
        </is>
      </c>
      <c r="J22" s="31" t="inlineStr"/>
      <c r="K22" s="4" t="inlineStr">
        <is>
          <t>런칭 후</t>
        </is>
      </c>
      <c r="L22" s="34" t="n">
        <v>5</v>
      </c>
    </row>
    <row r="23" ht="22" customHeight="1">
      <c r="A23" s="45" t="inlineStr">
        <is>
          <t>B3-2</t>
        </is>
      </c>
      <c r="B23" s="30" t="inlineStr">
        <is>
          <t>고객 데이터 마케팅</t>
        </is>
      </c>
      <c r="C23" s="31" t="inlineStr">
        <is>
          <t>B3</t>
        </is>
      </c>
      <c r="D23" s="31" t="inlineStr">
        <is>
          <t>2026-07-20</t>
        </is>
      </c>
      <c r="E23" s="31" t="inlineStr">
        <is>
          <t>2026-08-03</t>
        </is>
      </c>
      <c r="F23" s="32">
        <f>IF(AND(D23&lt;&gt;"",E23&lt;&gt;""),(DATEVALUE(E23)-DATEVALUE(D23))/7,"")</f>
        <v/>
      </c>
      <c r="G23" s="31" t="inlineStr">
        <is>
          <t>글로벌/비즈</t>
        </is>
      </c>
      <c r="H23" s="44" t="inlineStr">
        <is>
          <t>후순위</t>
        </is>
      </c>
      <c r="I23" s="31" t="inlineStr">
        <is>
          <t>FALSE</t>
        </is>
      </c>
      <c r="J23" s="31" t="inlineStr"/>
      <c r="K23" s="4" t="inlineStr">
        <is>
          <t>런칭 후</t>
        </is>
      </c>
      <c r="L23" s="34" t="n">
        <v>10</v>
      </c>
    </row>
    <row r="24" ht="22" customHeight="1">
      <c r="A24" s="45" t="inlineStr">
        <is>
          <t>B3-3</t>
        </is>
      </c>
      <c r="B24" s="30" t="inlineStr">
        <is>
          <t>테이블체크 연동</t>
        </is>
      </c>
      <c r="C24" s="31" t="inlineStr">
        <is>
          <t>B3</t>
        </is>
      </c>
      <c r="D24" s="31" t="inlineStr">
        <is>
          <t>2026-07-20</t>
        </is>
      </c>
      <c r="E24" s="31" t="inlineStr">
        <is>
          <t>2026-08-17</t>
        </is>
      </c>
      <c r="F24" s="32">
        <f>IF(AND(D24&lt;&gt;"",E24&lt;&gt;""),(DATEVALUE(E24)-DATEVALUE(D24))/7,"")</f>
        <v/>
      </c>
      <c r="G24" s="31" t="inlineStr">
        <is>
          <t>B2B</t>
        </is>
      </c>
      <c r="H24" s="44" t="inlineStr">
        <is>
          <t>후순위</t>
        </is>
      </c>
      <c r="I24" s="31" t="inlineStr">
        <is>
          <t>FALSE</t>
        </is>
      </c>
      <c r="J24" s="31" t="inlineStr"/>
      <c r="K24" s="4" t="inlineStr">
        <is>
          <t>네이버 연동급. 런칭 후</t>
        </is>
      </c>
      <c r="L24" s="34" t="n">
        <v>20</v>
      </c>
    </row>
    <row r="25" ht="22" customHeight="1">
      <c r="A25" s="45" t="inlineStr">
        <is>
          <t>B3-4</t>
        </is>
      </c>
      <c r="B25" s="30" t="inlineStr">
        <is>
          <t>WhatsApp 연동</t>
        </is>
      </c>
      <c r="C25" s="31" t="inlineStr">
        <is>
          <t>B3</t>
        </is>
      </c>
      <c r="D25" s="31" t="inlineStr">
        <is>
          <t>2026-07-06</t>
        </is>
      </c>
      <c r="E25" s="31" t="inlineStr">
        <is>
          <t>2026-07-13</t>
        </is>
      </c>
      <c r="F25" s="32">
        <f>IF(AND(D25&lt;&gt;"",E25&lt;&gt;""),(DATEVALUE(E25)-DATEVALUE(D25))/7,"")</f>
        <v/>
      </c>
      <c r="G25" s="31" t="inlineStr">
        <is>
          <t>글로벌</t>
        </is>
      </c>
      <c r="H25" s="44" t="inlineStr">
        <is>
          <t>후순위</t>
        </is>
      </c>
      <c r="I25" s="31" t="inlineStr">
        <is>
          <t>FALSE</t>
        </is>
      </c>
      <c r="J25" s="31" t="inlineStr">
        <is>
          <t>B1-1</t>
        </is>
      </c>
      <c r="K25" s="4" t="inlineStr">
        <is>
          <t>LINE 후</t>
        </is>
      </c>
      <c r="L25" s="34" t="n">
        <v>6</v>
      </c>
    </row>
    <row r="26" ht="22" customHeight="1">
      <c r="A26" s="46" t="inlineStr">
        <is>
          <t>B-9</t>
        </is>
      </c>
      <c r="B26" s="36" t="inlineStr">
        <is>
          <t>일본 서버 리전</t>
        </is>
      </c>
      <c r="C26" s="31" t="inlineStr">
        <is>
          <t>BF</t>
        </is>
      </c>
      <c r="D26" s="31" t="inlineStr">
        <is>
          <t>2026-04-13</t>
        </is>
      </c>
      <c r="E26" s="31" t="inlineStr">
        <is>
          <t>2026-05-25</t>
        </is>
      </c>
      <c r="F26" s="32">
        <f>IF(AND(D26&lt;&gt;"",E26&lt;&gt;""),(DATEVALUE(E26)-DATEVALUE(D26))/7,"")</f>
        <v/>
      </c>
      <c r="G26" s="31" t="inlineStr">
        <is>
          <t>인프라</t>
        </is>
      </c>
      <c r="H26" s="42" t="inlineStr">
        <is>
          <t>리서치</t>
        </is>
      </c>
      <c r="I26" s="31" t="inlineStr">
        <is>
          <t>TRUE</t>
        </is>
      </c>
      <c r="J26" s="31" t="inlineStr"/>
      <c r="K26" s="4" t="inlineStr">
        <is>
          <t>⚠️⚠️ DB분리시 +8주</t>
        </is>
      </c>
      <c r="L26" s="37" t="n">
        <v>30</v>
      </c>
    </row>
    <row r="27" ht="22" customHeight="1">
      <c r="A27" s="47" t="inlineStr">
        <is>
          <t>B-10</t>
        </is>
      </c>
      <c r="B27" s="30" t="inlineStr">
        <is>
          <t>개인정보 정책</t>
        </is>
      </c>
      <c r="C27" s="31" t="inlineStr">
        <is>
          <t>BF</t>
        </is>
      </c>
      <c r="D27" s="31" t="inlineStr">
        <is>
          <t>2026-04-13</t>
        </is>
      </c>
      <c r="E27" s="31" t="inlineStr">
        <is>
          <t>2026-05-11</t>
        </is>
      </c>
      <c r="F27" s="32">
        <f>IF(AND(D27&lt;&gt;"",E27&lt;&gt;""),(DATEVALUE(E27)-DATEVALUE(D27))/7,"")</f>
        <v/>
      </c>
      <c r="G27" s="31" t="inlineStr">
        <is>
          <t>법무</t>
        </is>
      </c>
      <c r="H27" s="48" t="inlineStr">
        <is>
          <t>진행중</t>
        </is>
      </c>
      <c r="I27" s="31" t="inlineStr">
        <is>
          <t>FALSE</t>
        </is>
      </c>
      <c r="J27" s="31" t="inlineStr"/>
      <c r="K27" s="4" t="inlineStr">
        <is>
          <t>율촌 자문 진행중</t>
        </is>
      </c>
      <c r="L27" s="34" t="n">
        <v>0</v>
      </c>
    </row>
    <row r="28" ht="22" customHeight="1">
      <c r="A28" s="47" t="inlineStr">
        <is>
          <t>B-11</t>
        </is>
      </c>
      <c r="B28" s="30" t="inlineStr">
        <is>
          <t>웹페이지 통합/다국어</t>
        </is>
      </c>
      <c r="C28" s="31" t="inlineStr">
        <is>
          <t>BF</t>
        </is>
      </c>
      <c r="D28" s="31" t="inlineStr">
        <is>
          <t>2026-04-27</t>
        </is>
      </c>
      <c r="E28" s="31" t="inlineStr">
        <is>
          <t>2026-05-25</t>
        </is>
      </c>
      <c r="F28" s="32">
        <f>IF(AND(D28&lt;&gt;"",E28&lt;&gt;""),(DATEVALUE(E28)-DATEVALUE(D28))/7,"")</f>
        <v/>
      </c>
      <c r="G28" s="31" t="inlineStr">
        <is>
          <t>비즈+글로벌</t>
        </is>
      </c>
      <c r="H28" s="42" t="inlineStr">
        <is>
          <t>검토중</t>
        </is>
      </c>
      <c r="I28" s="31" t="inlineStr">
        <is>
          <t>FALSE</t>
        </is>
      </c>
      <c r="J28" s="31" t="inlineStr"/>
      <c r="K28" s="4" t="inlineStr">
        <is>
          <t>소관 교통정리</t>
        </is>
      </c>
      <c r="L28" s="34" t="n">
        <v>20</v>
      </c>
    </row>
    <row r="29" ht="22" customHeight="1">
      <c r="A29" s="46" t="inlineStr">
        <is>
          <t>B-12</t>
        </is>
      </c>
      <c r="B29" s="36" t="inlineStr">
        <is>
          <t>글로벌앱 지역전환</t>
        </is>
      </c>
      <c r="C29" s="31" t="inlineStr">
        <is>
          <t>BF</t>
        </is>
      </c>
      <c r="D29" s="31" t="inlineStr">
        <is>
          <t>2026-05-11</t>
        </is>
      </c>
      <c r="E29" s="31" t="inlineStr">
        <is>
          <t>2026-06-22</t>
        </is>
      </c>
      <c r="F29" s="32">
        <f>IF(AND(D29&lt;&gt;"",E29&lt;&gt;""),(DATEVALUE(E29)-DATEVALUE(D29))/7,"")</f>
        <v/>
      </c>
      <c r="G29" s="31" t="inlineStr">
        <is>
          <t>글로벌</t>
        </is>
      </c>
      <c r="H29" s="33" t="inlineStr">
        <is>
          <t>미착수</t>
        </is>
      </c>
      <c r="I29" s="31" t="inlineStr">
        <is>
          <t>TRUE</t>
        </is>
      </c>
      <c r="J29" s="31" t="inlineStr"/>
      <c r="K29" s="4" t="inlineStr">
        <is>
          <t>가장 큰 블록 30MD</t>
        </is>
      </c>
      <c r="L29" s="37" t="n">
        <v>30</v>
      </c>
    </row>
    <row r="30" ht="22" customHeight="1">
      <c r="A30" s="49" t="inlineStr">
        <is>
          <t>C-1</t>
        </is>
      </c>
      <c r="B30" s="30" t="inlineStr">
        <is>
          <t>회원연동 API 설계</t>
        </is>
      </c>
      <c r="C30" s="31" t="inlineStr">
        <is>
          <t>C</t>
        </is>
      </c>
      <c r="D30" s="31" t="inlineStr">
        <is>
          <t>2026-04-27</t>
        </is>
      </c>
      <c r="E30" s="31" t="inlineStr">
        <is>
          <t>2026-05-04</t>
        </is>
      </c>
      <c r="F30" s="32">
        <f>IF(AND(D30&lt;&gt;"",E30&lt;&gt;""),(DATEVALUE(E30)-DATEVALUE(D30))/7,"")</f>
        <v/>
      </c>
      <c r="G30" s="31" t="inlineStr">
        <is>
          <t>기현+글로벌</t>
        </is>
      </c>
      <c r="H30" s="42" t="inlineStr">
        <is>
          <t>검토중</t>
        </is>
      </c>
      <c r="I30" s="31" t="inlineStr">
        <is>
          <t>FALSE</t>
        </is>
      </c>
      <c r="J30" s="31" t="inlineStr"/>
      <c r="K30" s="4" t="inlineStr">
        <is>
          <t>연동 방식 확정 필요</t>
        </is>
      </c>
      <c r="L30" s="34" t="n">
        <v>3</v>
      </c>
    </row>
    <row r="31" ht="22" customHeight="1">
      <c r="A31" s="49" t="inlineStr">
        <is>
          <t>C-2</t>
        </is>
      </c>
      <c r="B31" s="30" t="inlineStr">
        <is>
          <t>로그인 쿠키 공유</t>
        </is>
      </c>
      <c r="C31" s="31" t="inlineStr">
        <is>
          <t>C</t>
        </is>
      </c>
      <c r="D31" s="31" t="inlineStr">
        <is>
          <t>2026-05-04</t>
        </is>
      </c>
      <c r="E31" s="31" t="inlineStr">
        <is>
          <t>2026-05-25</t>
        </is>
      </c>
      <c r="F31" s="32">
        <f>IF(AND(D31&lt;&gt;"",E31&lt;&gt;""),(DATEVALUE(E31)-DATEVALUE(D31))/7,"")</f>
        <v/>
      </c>
      <c r="G31" s="31" t="inlineStr">
        <is>
          <t>캐치테이블</t>
        </is>
      </c>
      <c r="H31" s="41" t="inlineStr">
        <is>
          <t>대기</t>
        </is>
      </c>
      <c r="I31" s="31" t="inlineStr">
        <is>
          <t>FALSE</t>
        </is>
      </c>
      <c r="J31" s="31" t="inlineStr">
        <is>
          <t>C-1</t>
        </is>
      </c>
      <c r="K31" s="4" t="inlineStr"/>
      <c r="L31" s="34" t="n">
        <v>15</v>
      </c>
    </row>
    <row r="32" ht="22" customHeight="1">
      <c r="A32" s="49" t="inlineStr">
        <is>
          <t>C-3</t>
        </is>
      </c>
      <c r="B32" s="30" t="inlineStr">
        <is>
          <t>LINE 회원가입</t>
        </is>
      </c>
      <c r="C32" s="31" t="inlineStr">
        <is>
          <t>C</t>
        </is>
      </c>
      <c r="D32" s="31" t="inlineStr">
        <is>
          <t>2026-04-13</t>
        </is>
      </c>
      <c r="E32" s="31" t="inlineStr">
        <is>
          <t>2026-04-27</t>
        </is>
      </c>
      <c r="F32" s="32">
        <f>IF(AND(D32&lt;&gt;"",E32&lt;&gt;""),(DATEVALUE(E32)-DATEVALUE(D32))/7,"")</f>
        <v/>
      </c>
      <c r="G32" s="31" t="inlineStr">
        <is>
          <t>글로벌</t>
        </is>
      </c>
      <c r="H32" s="48" t="inlineStr">
        <is>
          <t>진행중</t>
        </is>
      </c>
      <c r="I32" s="31" t="inlineStr">
        <is>
          <t>FALSE</t>
        </is>
      </c>
      <c r="J32" s="31" t="inlineStr"/>
      <c r="K32" s="4" t="inlineStr"/>
      <c r="L32" s="34" t="n">
        <v>9</v>
      </c>
    </row>
    <row r="33" ht="22" customHeight="1">
      <c r="A33" s="49" t="inlineStr">
        <is>
          <t>C-4</t>
        </is>
      </c>
      <c r="B33" s="30" t="inlineStr">
        <is>
          <t>마이다이닝 통합</t>
        </is>
      </c>
      <c r="C33" s="31" t="inlineStr">
        <is>
          <t>C</t>
        </is>
      </c>
      <c r="D33" s="31" t="inlineStr">
        <is>
          <t>2026-05-25</t>
        </is>
      </c>
      <c r="E33" s="31" t="inlineStr">
        <is>
          <t>2026-06-08</t>
        </is>
      </c>
      <c r="F33" s="32">
        <f>IF(AND(D33&lt;&gt;"",E33&lt;&gt;""),(DATEVALUE(E33)-DATEVALUE(D33))/7,"")</f>
        <v/>
      </c>
      <c r="G33" s="31" t="inlineStr">
        <is>
          <t>캐치테이블</t>
        </is>
      </c>
      <c r="H33" s="41" t="inlineStr">
        <is>
          <t>대기</t>
        </is>
      </c>
      <c r="I33" s="31" t="inlineStr">
        <is>
          <t>FALSE</t>
        </is>
      </c>
      <c r="J33" s="31" t="inlineStr">
        <is>
          <t>C-2</t>
        </is>
      </c>
      <c r="K33" s="4" t="inlineStr"/>
      <c r="L33" s="34" t="n">
        <v>10</v>
      </c>
    </row>
    <row r="34" ht="22" customHeight="1">
      <c r="A34" s="49" t="inlineStr">
        <is>
          <t>C-5</t>
        </is>
      </c>
      <c r="B34" s="30" t="inlineStr">
        <is>
          <t>결제매장 회원필수</t>
        </is>
      </c>
      <c r="C34" s="31" t="inlineStr">
        <is>
          <t>C</t>
        </is>
      </c>
      <c r="D34" s="31" t="inlineStr">
        <is>
          <t>2026-05-25</t>
        </is>
      </c>
      <c r="E34" s="31" t="inlineStr">
        <is>
          <t>2026-05-29</t>
        </is>
      </c>
      <c r="F34" s="32">
        <f>IF(AND(D34&lt;&gt;"",E34&lt;&gt;""),(DATEVALUE(E34)-DATEVALUE(D34))/7,"")</f>
        <v/>
      </c>
      <c r="G34" s="31" t="inlineStr">
        <is>
          <t>글로벌/B2B</t>
        </is>
      </c>
      <c r="H34" s="42" t="inlineStr">
        <is>
          <t>설계중</t>
        </is>
      </c>
      <c r="I34" s="31" t="inlineStr">
        <is>
          <t>FALSE</t>
        </is>
      </c>
      <c r="J34" s="31" t="inlineStr"/>
      <c r="K34" s="4" t="inlineStr"/>
      <c r="L34" s="34" t="n">
        <v>2</v>
      </c>
    </row>
    <row r="35" ht="22" customHeight="1">
      <c r="A35" s="50" t="inlineStr">
        <is>
          <t>C-6</t>
        </is>
      </c>
      <c r="B35" s="36" t="inlineStr">
        <is>
          <t>원장 통합/분리</t>
        </is>
      </c>
      <c r="C35" s="31" t="inlineStr">
        <is>
          <t>C</t>
        </is>
      </c>
      <c r="D35" s="31" t="inlineStr">
        <is>
          <t>2026-04-13</t>
        </is>
      </c>
      <c r="E35" s="31" t="inlineStr">
        <is>
          <t>2026-05-04</t>
        </is>
      </c>
      <c r="F35" s="32">
        <f>IF(AND(D35&lt;&gt;"",E35&lt;&gt;""),(DATEVALUE(E35)-DATEVALUE(D35))/7,"")</f>
        <v/>
      </c>
      <c r="G35" s="31" t="inlineStr">
        <is>
          <t>인프라</t>
        </is>
      </c>
      <c r="H35" s="42" t="inlineStr">
        <is>
          <t>리서치</t>
        </is>
      </c>
      <c r="I35" s="31" t="inlineStr">
        <is>
          <t>TRUE</t>
        </is>
      </c>
      <c r="J35" s="31" t="inlineStr">
        <is>
          <t>B-9</t>
        </is>
      </c>
      <c r="K35" s="4" t="inlineStr">
        <is>
          <t>⚠️⚠️ 서버리전 직결</t>
        </is>
      </c>
      <c r="L35" s="37" t="n">
        <v>15</v>
      </c>
    </row>
    <row r="36" ht="22" customHeight="1">
      <c r="A36" s="49" t="inlineStr">
        <is>
          <t>C-7</t>
        </is>
      </c>
      <c r="B36" s="30" t="inlineStr">
        <is>
          <t>인앱 호출(숏컷)</t>
        </is>
      </c>
      <c r="C36" s="31" t="inlineStr">
        <is>
          <t>C</t>
        </is>
      </c>
      <c r="D36" s="31" t="inlineStr">
        <is>
          <t>2026-06-08</t>
        </is>
      </c>
      <c r="E36" s="31" t="inlineStr">
        <is>
          <t>2026-06-22</t>
        </is>
      </c>
      <c r="F36" s="32">
        <f>IF(AND(D36&lt;&gt;"",E36&lt;&gt;""),(DATEVALUE(E36)-DATEVALUE(D36))/7,"")</f>
        <v/>
      </c>
      <c r="G36" s="31" t="inlineStr">
        <is>
          <t>캐치테이블</t>
        </is>
      </c>
      <c r="H36" s="33" t="inlineStr">
        <is>
          <t>미착수</t>
        </is>
      </c>
      <c r="I36" s="31" t="inlineStr">
        <is>
          <t>FALSE</t>
        </is>
      </c>
      <c r="J36" s="31" t="inlineStr"/>
      <c r="K36" s="4" t="inlineStr"/>
      <c r="L36" s="34" t="n">
        <v>8</v>
      </c>
    </row>
    <row r="37" ht="22" customHeight="1">
      <c r="A37" s="51" t="inlineStr">
        <is>
          <t>D-1</t>
        </is>
      </c>
      <c r="B37" s="36" t="inlineStr">
        <is>
          <t>일본 법인 설립</t>
        </is>
      </c>
      <c r="C37" s="31" t="inlineStr">
        <is>
          <t>D</t>
        </is>
      </c>
      <c r="D37" s="31" t="inlineStr">
        <is>
          <t>2026-03-16</t>
        </is>
      </c>
      <c r="E37" s="31" t="inlineStr">
        <is>
          <t>2026-06-15</t>
        </is>
      </c>
      <c r="F37" s="32">
        <f>IF(AND(D37&lt;&gt;"",E37&lt;&gt;""),(DATEVALUE(E37)-DATEVALUE(D37))/7,"")</f>
        <v/>
      </c>
      <c r="G37" s="31" t="inlineStr">
        <is>
          <t>경영지원</t>
        </is>
      </c>
      <c r="H37" s="48" t="inlineStr">
        <is>
          <t>진행중</t>
        </is>
      </c>
      <c r="I37" s="31" t="inlineStr">
        <is>
          <t>TRUE</t>
        </is>
      </c>
      <c r="J37" s="31" t="inlineStr"/>
      <c r="K37" s="4" t="inlineStr">
        <is>
          <t>3개월+ 소요</t>
        </is>
      </c>
      <c r="L37" s="37" t="n">
        <v>0</v>
      </c>
    </row>
    <row r="38" ht="22" customHeight="1">
      <c r="A38" s="52" t="inlineStr">
        <is>
          <t>D-2</t>
        </is>
      </c>
      <c r="B38" s="30" t="inlineStr">
        <is>
          <t>현지 계좌 개설</t>
        </is>
      </c>
      <c r="C38" s="31" t="inlineStr">
        <is>
          <t>D</t>
        </is>
      </c>
      <c r="D38" s="31" t="inlineStr">
        <is>
          <t>2026-05-11</t>
        </is>
      </c>
      <c r="E38" s="31" t="inlineStr">
        <is>
          <t>2026-06-15</t>
        </is>
      </c>
      <c r="F38" s="32">
        <f>IF(AND(D38&lt;&gt;"",E38&lt;&gt;""),(DATEVALUE(E38)-DATEVALUE(D38))/7,"")</f>
        <v/>
      </c>
      <c r="G38" s="31" t="inlineStr">
        <is>
          <t>경영지원</t>
        </is>
      </c>
      <c r="H38" s="41" t="inlineStr">
        <is>
          <t>대기</t>
        </is>
      </c>
      <c r="I38" s="31" t="inlineStr">
        <is>
          <t>FALSE</t>
        </is>
      </c>
      <c r="J38" s="31" t="inlineStr">
        <is>
          <t>D-1</t>
        </is>
      </c>
      <c r="K38" s="4" t="inlineStr"/>
      <c r="L38" s="34" t="n">
        <v>0</v>
      </c>
    </row>
    <row r="39" ht="22" customHeight="1">
      <c r="A39" s="52" t="inlineStr">
        <is>
          <t>D-3</t>
        </is>
      </c>
      <c r="B39" s="30" t="inlineStr">
        <is>
          <t>도쿄 사무실</t>
        </is>
      </c>
      <c r="C39" s="31" t="inlineStr">
        <is>
          <t>D</t>
        </is>
      </c>
      <c r="D39" s="31" t="inlineStr">
        <is>
          <t>2026-05-11</t>
        </is>
      </c>
      <c r="E39" s="31" t="inlineStr">
        <is>
          <t>2026-06-08</t>
        </is>
      </c>
      <c r="F39" s="32">
        <f>IF(AND(D39&lt;&gt;"",E39&lt;&gt;""),(DATEVALUE(E39)-DATEVALUE(D39))/7,"")</f>
        <v/>
      </c>
      <c r="G39" s="31" t="inlineStr">
        <is>
          <t>경영지원</t>
        </is>
      </c>
      <c r="H39" s="48" t="inlineStr">
        <is>
          <t>진행중</t>
        </is>
      </c>
      <c r="I39" s="31" t="inlineStr">
        <is>
          <t>FALSE</t>
        </is>
      </c>
      <c r="J39" s="31" t="inlineStr"/>
      <c r="K39" s="4" t="inlineStr"/>
      <c r="L39" s="34" t="n">
        <v>0</v>
      </c>
    </row>
    <row r="40" ht="22" customHeight="1">
      <c r="A40" s="52" t="inlineStr">
        <is>
          <t>D-4</t>
        </is>
      </c>
      <c r="B40" s="30" t="inlineStr">
        <is>
          <t>현지 인력 채용</t>
        </is>
      </c>
      <c r="C40" s="31" t="inlineStr">
        <is>
          <t>D</t>
        </is>
      </c>
      <c r="D40" s="31" t="inlineStr">
        <is>
          <t>2026-05-11</t>
        </is>
      </c>
      <c r="E40" s="31" t="inlineStr">
        <is>
          <t>2026-06-22</t>
        </is>
      </c>
      <c r="F40" s="32">
        <f>IF(AND(D40&lt;&gt;"",E40&lt;&gt;""),(DATEVALUE(E40)-DATEVALUE(D40))/7,"")</f>
        <v/>
      </c>
      <c r="G40" s="31" t="inlineStr">
        <is>
          <t>HR</t>
        </is>
      </c>
      <c r="H40" s="42" t="inlineStr">
        <is>
          <t>준비중</t>
        </is>
      </c>
      <c r="I40" s="31" t="inlineStr">
        <is>
          <t>FALSE</t>
        </is>
      </c>
      <c r="J40" s="31" t="inlineStr"/>
      <c r="K40" s="4" t="inlineStr"/>
      <c r="L40" s="34" t="n">
        <v>0</v>
      </c>
    </row>
    <row r="41" ht="22" customHeight="1">
      <c r="A41" s="53" t="inlineStr">
        <is>
          <t>Q-1</t>
        </is>
      </c>
      <c r="B41" s="30" t="inlineStr">
        <is>
          <t>중간 점검 QA</t>
        </is>
      </c>
      <c r="C41" s="31" t="inlineStr">
        <is>
          <t>Q</t>
        </is>
      </c>
      <c r="D41" s="31" t="inlineStr">
        <is>
          <t>2026-07-06</t>
        </is>
      </c>
      <c r="E41" s="31" t="inlineStr">
        <is>
          <t>2026-07-20</t>
        </is>
      </c>
      <c r="F41" s="32">
        <f>IF(AND(D41&lt;&gt;"",E41&lt;&gt;""),(DATEVALUE(E41)-DATEVALUE(D41))/7,"")</f>
        <v/>
      </c>
      <c r="G41" s="31" t="inlineStr">
        <is>
          <t>QA</t>
        </is>
      </c>
      <c r="H41" s="33" t="inlineStr">
        <is>
          <t>미착수</t>
        </is>
      </c>
      <c r="I41" s="31" t="inlineStr">
        <is>
          <t>FALSE</t>
        </is>
      </c>
      <c r="J41" s="31" t="inlineStr"/>
      <c r="K41" s="4" t="inlineStr"/>
      <c r="L41" s="34" t="n">
        <v>0</v>
      </c>
    </row>
    <row r="42" ht="22" customHeight="1">
      <c r="A42" s="54" t="inlineStr">
        <is>
          <t>Q-2</t>
        </is>
      </c>
      <c r="B42" s="36" t="inlineStr">
        <is>
          <t>통합 테스트</t>
        </is>
      </c>
      <c r="C42" s="31" t="inlineStr">
        <is>
          <t>Q</t>
        </is>
      </c>
      <c r="D42" s="31" t="inlineStr">
        <is>
          <t>2026-07-20</t>
        </is>
      </c>
      <c r="E42" s="31" t="inlineStr">
        <is>
          <t>2026-07-27</t>
        </is>
      </c>
      <c r="F42" s="32">
        <f>IF(AND(D42&lt;&gt;"",E42&lt;&gt;""),(DATEVALUE(E42)-DATEVALUE(D42))/7,"")</f>
        <v/>
      </c>
      <c r="G42" s="31" t="inlineStr">
        <is>
          <t>QA</t>
        </is>
      </c>
      <c r="H42" s="33" t="inlineStr">
        <is>
          <t>미착수</t>
        </is>
      </c>
      <c r="I42" s="31" t="inlineStr">
        <is>
          <t>TRUE</t>
        </is>
      </c>
      <c r="J42" s="31" t="inlineStr">
        <is>
          <t>Q-1</t>
        </is>
      </c>
      <c r="K42" s="4" t="inlineStr"/>
      <c r="L42" s="37" t="n">
        <v>0</v>
      </c>
    </row>
    <row r="43" ht="22" customHeight="1">
      <c r="A43" s="54" t="inlineStr">
        <is>
          <t>Q-3</t>
        </is>
      </c>
      <c r="B43" s="36" t="inlineStr">
        <is>
          <t>현지 테스트</t>
        </is>
      </c>
      <c r="C43" s="31" t="inlineStr">
        <is>
          <t>Q</t>
        </is>
      </c>
      <c r="D43" s="31" t="inlineStr">
        <is>
          <t>2026-07-27</t>
        </is>
      </c>
      <c r="E43" s="31" t="inlineStr">
        <is>
          <t>2026-08-03</t>
        </is>
      </c>
      <c r="F43" s="32">
        <f>IF(AND(D43&lt;&gt;"",E43&lt;&gt;""),(DATEVALUE(E43)-DATEVALUE(D43))/7,"")</f>
        <v/>
      </c>
      <c r="G43" s="31" t="inlineStr">
        <is>
          <t>전체</t>
        </is>
      </c>
      <c r="H43" s="33" t="inlineStr">
        <is>
          <t>미착수</t>
        </is>
      </c>
      <c r="I43" s="31" t="inlineStr">
        <is>
          <t>TRUE</t>
        </is>
      </c>
      <c r="J43" s="31" t="inlineStr">
        <is>
          <t>Q-2</t>
        </is>
      </c>
      <c r="K43" s="4" t="inlineStr"/>
      <c r="L43" s="37" t="n">
        <v>0</v>
      </c>
    </row>
    <row r="44" ht="22" customHeight="1">
      <c r="A44" s="54" t="inlineStr">
        <is>
          <t>Q-4</t>
        </is>
      </c>
      <c r="B44" s="36" t="inlineStr">
        <is>
          <t>🚀 런칭</t>
        </is>
      </c>
      <c r="C44" s="31" t="inlineStr">
        <is>
          <t>Q</t>
        </is>
      </c>
      <c r="D44" s="31" t="inlineStr">
        <is>
          <t>2026-08-03</t>
        </is>
      </c>
      <c r="E44" s="31" t="inlineStr">
        <is>
          <t>2026-08-05</t>
        </is>
      </c>
      <c r="F44" s="32">
        <f>IF(AND(D44&lt;&gt;"",E44&lt;&gt;""),(DATEVALUE(E44)-DATEVALUE(D44))/7,"")</f>
        <v/>
      </c>
      <c r="G44" s="31" t="inlineStr">
        <is>
          <t>전체</t>
        </is>
      </c>
      <c r="H44" s="39" t="inlineStr">
        <is>
          <t>목표</t>
        </is>
      </c>
      <c r="I44" s="31" t="inlineStr">
        <is>
          <t>TRUE</t>
        </is>
      </c>
      <c r="J44" s="31" t="inlineStr">
        <is>
          <t>Q-3</t>
        </is>
      </c>
      <c r="K44" s="4" t="inlineStr"/>
      <c r="L44" s="37" t="n">
        <v>0</v>
      </c>
    </row>
    <row r="45" ht="8" customHeight="1"/>
    <row r="46">
      <c r="A46" s="36" t="inlineStr">
        <is>
          <t>합계</t>
        </is>
      </c>
      <c r="L46" s="37">
        <f>SUM(L2:L44)</f>
        <v/>
      </c>
    </row>
    <row r="47">
      <c r="A47" s="55" t="inlineStr">
        <is>
          <t>크리티컬 과제 수</t>
        </is>
      </c>
      <c r="B47" s="37">
        <f>COUNTIF(I2:I44,"TRUE")</f>
        <v/>
      </c>
    </row>
  </sheetData>
  <dataValidations count="3">
    <dataValidation sqref="C2:C200" showDropDown="0" showInputMessage="0" showErrorMessage="0" allowBlank="1" type="list">
      <formula1>"A,B1,B2,B3,BF,C,D,Q"</formula1>
    </dataValidation>
    <dataValidation sqref="H2:H200" showDropDown="0" showInputMessage="0" showErrorMessage="0" allowBlank="1" type="list">
      <formula1>"최우선,크리티컬,진행중,리서치,검토중,설계중,준비중,미착수,대기,LINE대기,후순위,2순위,목표,완료"</formula1>
    </dataValidation>
    <dataValidation sqref="I2:I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14" customWidth="1" min="4" max="4"/>
    <col width="24" customWidth="1" min="5" max="5"/>
  </cols>
  <sheetData>
    <row r="1" ht="24" customHeight="1">
      <c r="A1" s="28" t="inlineStr">
        <is>
          <t>id</t>
        </is>
      </c>
      <c r="B1" s="28" t="inlineStr">
        <is>
          <t>name</t>
        </is>
      </c>
      <c r="C1" s="28" t="inlineStr">
        <is>
          <t>due</t>
        </is>
      </c>
      <c r="D1" s="28" t="inlineStr">
        <is>
          <t>status</t>
        </is>
      </c>
      <c r="E1" s="28" t="inlineStr">
        <is>
          <t>impact</t>
        </is>
      </c>
    </row>
    <row r="2" ht="22" customHeight="1">
      <c r="A2" s="56" t="inlineStr">
        <is>
          <t>❶</t>
        </is>
      </c>
      <c r="B2" s="9" t="inlineStr">
        <is>
          <t>DB 분리 범위</t>
        </is>
      </c>
      <c r="C2" s="11" t="inlineStr">
        <is>
          <t>3/28</t>
        </is>
      </c>
      <c r="D2" s="48" t="inlineStr">
        <is>
          <t>질의중</t>
        </is>
      </c>
      <c r="E2" s="9" t="inlineStr">
        <is>
          <t>일정 0~8주 차이</t>
        </is>
      </c>
    </row>
    <row r="3" ht="22" customHeight="1">
      <c r="A3" s="57" t="inlineStr">
        <is>
          <t>❷</t>
        </is>
      </c>
      <c r="B3" s="13" t="inlineStr">
        <is>
          <t>PG사 최종 선정</t>
        </is>
      </c>
      <c r="C3" s="15" t="inlineStr">
        <is>
          <t>3/21</t>
        </is>
      </c>
      <c r="D3" s="48" t="inlineStr">
        <is>
          <t>확인중</t>
        </is>
      </c>
      <c r="E3" s="13" t="inlineStr">
        <is>
          <t>PG 심사 시작</t>
        </is>
      </c>
    </row>
    <row r="4" ht="22" customHeight="1">
      <c r="A4" s="56" t="inlineStr">
        <is>
          <t>❸</t>
        </is>
      </c>
      <c r="B4" s="9" t="inlineStr">
        <is>
          <t>LINE 파트너</t>
        </is>
      </c>
      <c r="C4" s="11" t="inlineStr">
        <is>
          <t>3/28</t>
        </is>
      </c>
      <c r="D4" s="42" t="inlineStr">
        <is>
          <t>커뮤니케이션</t>
        </is>
      </c>
      <c r="E4" s="9" t="inlineStr">
        <is>
          <t>8주 리드타임</t>
        </is>
      </c>
    </row>
    <row r="5" ht="22" customHeight="1">
      <c r="A5" s="57" t="inlineStr">
        <is>
          <t>❹</t>
        </is>
      </c>
      <c r="B5" s="13" t="inlineStr">
        <is>
          <t>회원 연동 방식</t>
        </is>
      </c>
      <c r="C5" s="15" t="inlineStr">
        <is>
          <t>3/28</t>
        </is>
      </c>
      <c r="D5" s="48" t="inlineStr">
        <is>
          <t>기술검토</t>
        </is>
      </c>
      <c r="E5" s="13" t="inlineStr">
        <is>
          <t>캐치테이블팀 범위</t>
        </is>
      </c>
    </row>
    <row r="6" ht="22" customHeight="1">
      <c r="A6" s="56" t="inlineStr">
        <is>
          <t>❺</t>
        </is>
      </c>
      <c r="B6" s="9" t="inlineStr">
        <is>
          <t>패드 인력</t>
        </is>
      </c>
      <c r="C6" s="11" t="inlineStr">
        <is>
          <t>3/20</t>
        </is>
      </c>
      <c r="D6" s="42" t="inlineStr">
        <is>
          <t>논의예정</t>
        </is>
      </c>
      <c r="E6" s="9" t="inlineStr">
        <is>
          <t>패드 착수</t>
        </is>
      </c>
    </row>
    <row r="7" ht="22" customHeight="1">
      <c r="A7" s="57" t="inlineStr">
        <is>
          <t>❻</t>
        </is>
      </c>
      <c r="B7" s="13" t="inlineStr">
        <is>
          <t>정산 방식</t>
        </is>
      </c>
      <c r="C7" s="15" t="inlineStr">
        <is>
          <t>4월중</t>
        </is>
      </c>
      <c r="D7" s="15" t="inlineStr">
        <is>
          <t>리서치</t>
        </is>
      </c>
      <c r="E7" s="13" t="inlineStr">
        <is>
          <t>정산 범위</t>
        </is>
      </c>
    </row>
    <row r="8" ht="22" customHeight="1">
      <c r="A8" s="56" t="inlineStr">
        <is>
          <t>❼</t>
        </is>
      </c>
      <c r="B8" s="9" t="inlineStr">
        <is>
          <t>원장 구조</t>
        </is>
      </c>
      <c r="C8" s="11" t="inlineStr">
        <is>
          <t>3/28</t>
        </is>
      </c>
      <c r="D8" s="11" t="inlineStr">
        <is>
          <t>검토중</t>
        </is>
      </c>
      <c r="E8" s="9" t="inlineStr">
        <is>
          <t>DB 설계</t>
        </is>
      </c>
    </row>
    <row r="9" ht="22" customHeight="1">
      <c r="A9" s="57" t="inlineStr">
        <is>
          <t>❽</t>
        </is>
      </c>
      <c r="B9" s="13" t="inlineStr">
        <is>
          <t>웹페이지 소관</t>
        </is>
      </c>
      <c r="C9" s="15" t="inlineStr">
        <is>
          <t>3/28</t>
        </is>
      </c>
      <c r="D9" s="15" t="inlineStr">
        <is>
          <t>교통정리</t>
        </is>
      </c>
      <c r="E9" s="13" t="inlineStr">
        <is>
          <t>2벌 해소</t>
        </is>
      </c>
    </row>
  </sheetData>
  <dataValidations count="1">
    <dataValidation sqref="D2:D100" showDropDown="0" showInputMessage="0" showErrorMessage="0" allowBlank="1" type="list">
      <formula1>"질의중,확인중,커뮤니케이션,기술검토,논의예정,리서치,검토중,교통정리,완료"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8" customWidth="1" min="5" max="5"/>
    <col width="7" customWidth="1" min="6" max="6"/>
    <col width="6" customWidth="1" min="7" max="7"/>
    <col width="22" customWidth="1" min="8" max="8"/>
  </cols>
  <sheetData>
    <row r="1" ht="24" customHeight="1">
      <c r="A1" s="28" t="inlineStr">
        <is>
          <t>team</t>
        </is>
      </c>
      <c r="B1" s="58" t="inlineStr">
        <is>
          <t>be</t>
        </is>
      </c>
      <c r="C1" s="59" t="inlineStr">
        <is>
          <t>fe</t>
        </is>
      </c>
      <c r="D1" s="60" t="inlineStr">
        <is>
          <t>pm</t>
        </is>
      </c>
      <c r="E1" s="61" t="inlineStr">
        <is>
          <t>native</t>
        </is>
      </c>
      <c r="F1" s="62" t="inlineStr">
        <is>
          <t>uiux</t>
        </is>
      </c>
      <c r="G1" s="63" t="inlineStr">
        <is>
          <t>qa</t>
        </is>
      </c>
      <c r="H1" s="28" t="inlineStr">
        <is>
          <t>note</t>
        </is>
      </c>
    </row>
    <row r="2" ht="22" customHeight="1">
      <c r="A2" s="9" t="inlineStr">
        <is>
          <t>B2B</t>
        </is>
      </c>
      <c r="B2" s="11" t="n">
        <v>2</v>
      </c>
      <c r="C2" s="11" t="n">
        <v>1</v>
      </c>
      <c r="D2" s="11" t="n">
        <v>1</v>
      </c>
      <c r="E2" s="11" t="n">
        <v>0</v>
      </c>
      <c r="F2" s="11" t="n">
        <v>0</v>
      </c>
      <c r="G2" s="11" t="n">
        <v>0</v>
      </c>
      <c r="H2" s="9" t="inlineStr">
        <is>
          <t>+PM 확정 필요</t>
        </is>
      </c>
    </row>
    <row r="3" ht="22" customHeight="1">
      <c r="A3" s="13" t="inlineStr">
        <is>
          <t>글로벌</t>
        </is>
      </c>
      <c r="B3" s="15" t="n">
        <v>2</v>
      </c>
      <c r="C3" s="15" t="n">
        <v>2</v>
      </c>
      <c r="D3" s="15" t="n">
        <v>0</v>
      </c>
      <c r="E3" s="15" t="n">
        <v>1</v>
      </c>
      <c r="F3" s="15" t="n">
        <v>0</v>
      </c>
      <c r="G3" s="15" t="n">
        <v>0</v>
      </c>
      <c r="H3" s="13" t="inlineStr">
        <is>
          <t>+BE1, FE1 충원 🔴</t>
        </is>
      </c>
    </row>
    <row r="4" ht="22" customHeight="1">
      <c r="A4" s="9" t="inlineStr">
        <is>
          <t>페이</t>
        </is>
      </c>
      <c r="B4" s="11" t="n">
        <v>2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9" t="inlineStr">
        <is>
          <t>범위 따라 변동</t>
        </is>
      </c>
    </row>
    <row r="5" ht="22" customHeight="1">
      <c r="A5" s="13" t="inlineStr">
        <is>
          <t>캐치테이블</t>
        </is>
      </c>
      <c r="B5" s="15" t="n">
        <v>1</v>
      </c>
      <c r="C5" s="15" t="n">
        <v>1</v>
      </c>
      <c r="D5" s="15" t="n">
        <v>0</v>
      </c>
      <c r="E5" s="15" t="n">
        <v>0</v>
      </c>
      <c r="F5" s="15" t="n">
        <v>0</v>
      </c>
      <c r="G5" s="15" t="n">
        <v>0</v>
      </c>
      <c r="H5" s="13" t="inlineStr">
        <is>
          <t>기존 인력</t>
        </is>
      </c>
    </row>
    <row r="6" ht="22" customHeight="1">
      <c r="A6" s="9" t="inlineStr">
        <is>
          <t>인프라</t>
        </is>
      </c>
      <c r="B6" s="11" t="n">
        <v>1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9" t="inlineStr">
        <is>
          <t>DB분리시 +4주</t>
        </is>
      </c>
    </row>
    <row r="7" ht="22" customHeight="1">
      <c r="A7" s="13" t="inlineStr">
        <is>
          <t>디자인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1</v>
      </c>
      <c r="G7" s="15" t="n">
        <v>0</v>
      </c>
      <c r="H7" s="13" t="inlineStr">
        <is>
          <t>기존</t>
        </is>
      </c>
    </row>
    <row r="8" ht="22" customHeight="1">
      <c r="A8" s="9" t="inlineStr">
        <is>
          <t>QA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2</v>
      </c>
      <c r="H8" s="9" t="inlineStr">
        <is>
          <t>충원 검토</t>
        </is>
      </c>
    </row>
    <row r="9" ht="8" customHeight="1"/>
    <row r="10">
      <c r="A10" s="36" t="inlineStr">
        <is>
          <t>합계</t>
        </is>
      </c>
      <c r="B10" s="37">
        <f>SUM(B2:B8)</f>
        <v/>
      </c>
      <c r="C10" s="37">
        <f>SUM(C2:C8)</f>
        <v/>
      </c>
      <c r="D10" s="37">
        <f>SUM(D2:D8)</f>
        <v/>
      </c>
      <c r="E10" s="37">
        <f>SUM(E2:E8)</f>
        <v/>
      </c>
      <c r="F10" s="37">
        <f>SUM(F2:F8)</f>
        <v/>
      </c>
      <c r="G10" s="37">
        <f>SUM(G2:G8)</f>
        <v/>
      </c>
    </row>
    <row r="11">
      <c r="A11" s="36" t="inlineStr">
        <is>
          <t>총원</t>
        </is>
      </c>
      <c r="B11" s="37">
        <f>SUM(B10:G10)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2026-03-24T05:31:16Z</dcterms:created>
  <dcterms:modified xsi:type="dcterms:W3CDTF">2026-03-24T05:31:16Z</dcterms:modified>
</cp:coreProperties>
</file>